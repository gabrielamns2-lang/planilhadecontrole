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dri\Desktop\Curso EXCEL\"/>
    </mc:Choice>
  </mc:AlternateContent>
  <bookViews>
    <workbookView xWindow="0" yWindow="0" windowWidth="28800" windowHeight="12315" tabRatio="351"/>
  </bookViews>
  <sheets>
    <sheet name="APP" sheetId="1" r:id="rId1"/>
    <sheet name="Plan2" sheetId="2" r:id="rId2"/>
  </sheets>
  <definedNames>
    <definedName name="apote">APP!$D$17</definedName>
    <definedName name="patrimonio">APP!$D$20</definedName>
    <definedName name="qtde_anos">APP!$D$18</definedName>
    <definedName name="rendimento_carteira">APP!$D$13</definedName>
    <definedName name="salerio">APP!$D$12</definedName>
    <definedName name="sugestao_investimento">APP!$D$14</definedName>
    <definedName name="taxa_mensal">APP!$D$19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A16" i="2" l="1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C36" i="1" s="1"/>
  <c r="A8" i="2"/>
  <c r="A3" i="2"/>
  <c r="C37" i="1" s="1"/>
  <c r="C33" i="1"/>
  <c r="D20" i="1"/>
  <c r="D21" i="1" s="1"/>
  <c r="D14" i="1"/>
  <c r="C41" i="1" l="1"/>
  <c r="D41" i="1" s="1"/>
  <c r="C40" i="1"/>
  <c r="D40" i="1" s="1"/>
  <c r="C39" i="1"/>
  <c r="D39" i="1" s="1"/>
  <c r="C38" i="1"/>
  <c r="D38" i="1" s="1"/>
  <c r="D37" i="1"/>
  <c r="D36" i="1"/>
  <c r="C25" i="1"/>
  <c r="D25" i="1" s="1"/>
  <c r="C26" i="1"/>
  <c r="D26" i="1" s="1"/>
  <c r="C27" i="1"/>
  <c r="D27" i="1" s="1"/>
  <c r="C28" i="1"/>
  <c r="D28" i="1" s="1"/>
  <c r="C24" i="1"/>
  <c r="D24" i="1" s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<sst xmlns="http://schemas.openxmlformats.org/spreadsheetml/2006/main" count="71" uniqueCount="34">
  <si>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</si>
  <si>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</si>
  <si>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</si>
  <si>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</si>
  <si>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</si>
  <si>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</si>
  <si>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</si>
  <si>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</si>
  <si>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</si>
  <si>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</si>
  <si>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</si>
  <si>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</si>
  <si>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</si>
  <si>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</si>
  <si>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Rendimentos Carteira</t>
  </si>
  <si>
    <t>Salário</t>
  </si>
  <si>
    <t>Sugestão de Investimento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</si>
  <si>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</si>
  <si>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</si>
  <si>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</si>
  <si>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</si>
  <si>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</si>
  <si>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</si>
  <si>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</si>
  <si>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</si>
  <si>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</si>
  <si>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</si>
  <si>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</si>
  <si>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</si>
  <si>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</si>
  <si>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</si>
  <si>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</si>
  <si>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%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</si>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</sst>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20"/>
      <color theme="0"/>
      <name val="Segoe UI Semibold"/>
      <family val="2"/>
    </font>
    <font>
      <sz val="11"/>
      <color theme="1"/>
      <name val="Segoe UI Semibold"/>
      <family val="2"/>
    </font>
    <font>
      <sz val="18"/>
      <color theme="1"/>
      <name val="Segoe UI Semibold"/>
      <family val="2"/>
    </font>
    <font>
      <b/>
      <sz val="18"/>
      <color theme="0"/>
      <name val="Segoe UI Semibold"/>
      <family val="2"/>
    </font>
    <font>
      <b/>
      <sz val="12"/>
      <color theme="0"/>
      <name val="Segoe UI Semibold"/>
      <family val="2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96B24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4" borderId="0" xfId="3"/>
    <xf numFmtId="0" fontId="0" fillId="0" borderId="0" xfId="0" applyAlignment="1">
      <alignment horizontal="center" vertical="center"/>
    </xf>
    <xf numFmtId="0" fontId="2" fillId="7" borderId="0" xfId="0" applyFont="1" applyFill="1"/>
    <xf numFmtId="166" fontId="0" fillId="7" borderId="0" xfId="0" applyNumberFormat="1" applyFill="1" applyAlignment="1">
      <alignment horizontal="center"/>
    </xf>
    <xf numFmtId="0" fontId="4" fillId="4" borderId="0" xfId="3" applyAlignment="1">
      <alignment horizontal="center"/>
    </xf>
    <xf numFmtId="0" fontId="11" fillId="0" borderId="0" xfId="0" applyFont="1"/>
    <xf numFmtId="0" fontId="12" fillId="3" borderId="1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 vertical="center"/>
    </xf>
    <xf numFmtId="0" fontId="5" fillId="7" borderId="5" xfId="0" applyFont="1" applyFill="1" applyBorder="1" applyAlignment="1">
      <alignment horizontal="left" indent="3"/>
    </xf>
    <xf numFmtId="0" fontId="5" fillId="7" borderId="6" xfId="0" applyFont="1" applyFill="1" applyBorder="1" applyAlignment="1">
      <alignment horizontal="left" indent="3"/>
    </xf>
    <xf numFmtId="166" fontId="7" fillId="0" borderId="7" xfId="2" applyNumberFormat="1" applyFont="1" applyBorder="1" applyAlignment="1">
      <alignment horizontal="center"/>
    </xf>
    <xf numFmtId="0" fontId="5" fillId="7" borderId="8" xfId="0" applyFont="1" applyFill="1" applyBorder="1" applyAlignment="1">
      <alignment horizontal="left" indent="3"/>
    </xf>
    <xf numFmtId="0" fontId="5" fillId="7" borderId="9" xfId="0" applyFont="1" applyFill="1" applyBorder="1" applyAlignment="1">
      <alignment horizontal="left" indent="3"/>
    </xf>
    <xf numFmtId="10" fontId="7" fillId="0" borderId="10" xfId="0" applyNumberFormat="1" applyFont="1" applyBorder="1" applyAlignment="1">
      <alignment horizontal="center"/>
    </xf>
    <xf numFmtId="0" fontId="5" fillId="7" borderId="11" xfId="0" applyFont="1" applyFill="1" applyBorder="1" applyAlignment="1">
      <alignment horizontal="left" indent="3"/>
    </xf>
    <xf numFmtId="0" fontId="5" fillId="7" borderId="12" xfId="0" applyFont="1" applyFill="1" applyBorder="1" applyAlignment="1">
      <alignment horizontal="left" indent="3"/>
    </xf>
    <xf numFmtId="166" fontId="7" fillId="7" borderId="13" xfId="0" applyNumberFormat="1" applyFont="1" applyFill="1" applyBorder="1" applyAlignment="1">
      <alignment horizontal="center"/>
    </xf>
    <xf numFmtId="166" fontId="8" fillId="0" borderId="7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0" fontId="6" fillId="2" borderId="8" xfId="0" applyFont="1" applyFill="1" applyBorder="1" applyAlignment="1">
      <alignment horizontal="left" indent="3"/>
    </xf>
    <xf numFmtId="0" fontId="6" fillId="2" borderId="9" xfId="0" applyFont="1" applyFill="1" applyBorder="1" applyAlignment="1">
      <alignment horizontal="left" indent="3"/>
    </xf>
    <xf numFmtId="8" fontId="8" fillId="2" borderId="10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indent="3"/>
    </xf>
    <xf numFmtId="0" fontId="6" fillId="2" borderId="12" xfId="0" applyFont="1" applyFill="1" applyBorder="1" applyAlignment="1">
      <alignment horizontal="left" indent="3"/>
    </xf>
    <xf numFmtId="8" fontId="8" fillId="2" borderId="13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indent="3"/>
    </xf>
    <xf numFmtId="166" fontId="7" fillId="2" borderId="15" xfId="0" applyNumberFormat="1" applyFont="1" applyFill="1" applyBorder="1" applyAlignment="1">
      <alignment horizontal="center"/>
    </xf>
    <xf numFmtId="166" fontId="7" fillId="2" borderId="16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left" indent="3"/>
    </xf>
    <xf numFmtId="166" fontId="7" fillId="2" borderId="18" xfId="0" applyNumberFormat="1" applyFont="1" applyFill="1" applyBorder="1" applyAlignment="1">
      <alignment horizontal="center"/>
    </xf>
    <xf numFmtId="166" fontId="7" fillId="2" borderId="19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left" indent="3"/>
    </xf>
    <xf numFmtId="166" fontId="7" fillId="2" borderId="21" xfId="0" applyNumberFormat="1" applyFont="1" applyFill="1" applyBorder="1" applyAlignment="1">
      <alignment horizontal="center"/>
    </xf>
    <xf numFmtId="166" fontId="7" fillId="2" borderId="22" xfId="0" applyNumberFormat="1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 vertical="center"/>
    </xf>
    <xf numFmtId="166" fontId="2" fillId="7" borderId="0" xfId="2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2" fillId="8" borderId="0" xfId="0" applyFont="1" applyFill="1"/>
    <xf numFmtId="166" fontId="2" fillId="8" borderId="0" xfId="0" applyNumberFormat="1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14" fillId="4" borderId="0" xfId="1" applyFont="1" applyFill="1"/>
    <xf numFmtId="0" fontId="4" fillId="0" borderId="0" xfId="3" applyFill="1"/>
    <xf numFmtId="9" fontId="14" fillId="0" borderId="0" xfId="1" applyFont="1" applyFill="1"/>
    <xf numFmtId="0" fontId="0" fillId="0" borderId="0" xfId="0" applyFill="1"/>
  </cellXfs>
  <cellStyles count="4">
    <cellStyle name="Moeda" xfId="2" builtinId="4"/>
    <cellStyle name="Neutra" xfId="3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96B24"/>
      <color rgb="FF196BA5"/>
      <color rgb="FFAA1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42</xdr:row>
      <xdr:rowOff>101310</xdr:rowOff>
    </xdr:from>
    <xdr:to>
      <xdr:col>3</xdr:col>
      <xdr:colOff>762000</xdr:colOff>
      <xdr:row>55</xdr:row>
      <xdr:rowOff>112567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229922</xdr:colOff>
      <xdr:row>0</xdr:row>
      <xdr:rowOff>165061</xdr:rowOff>
    </xdr:from>
    <xdr:to>
      <xdr:col>5</xdr:col>
      <xdr:colOff>43296</xdr:colOff>
      <xdr:row>9</xdr:row>
      <xdr:rowOff>49696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29922" y="165061"/>
          <a:ext cx="6125851" cy="1521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42"/>
  <sheetViews>
    <sheetView showGridLines="0" tabSelected="1" zoomScale="110" zoomScaleNormal="110" workbookViewId="0">
      <selection activeCell="I1" sqref="I1:XFD1048576"/>
    </sheetView>
  </sheetViews>
  <sheetFormatPr defaultColWidth="0" defaultRowHeight="15" x14ac:dyDescent="0.25"/>
  <cols>
    <col min="1" max="1" width="6.28515625" customWidth="1"/>
    <col min="2" max="2" width="47" customWidth="1"/>
    <col min="3" max="3" width="22.5703125" bestFit="1" customWidth="1"/>
    <col min="4" max="4" width="15.140625" customWidth="1"/>
    <col min="5" max="8" width="3.5703125" customWidth="1"/>
    <col min="9" max="16380" width="9.140625" hidden="1"/>
    <col min="16381" max="16381" width="1.140625" hidden="1"/>
    <col min="16382" max="16384" width="9.140625" hidden="1"/>
  </cols>
  <sheetData>
    <row r="1" spans="1:4" ht="14.25" customHeight="1" x14ac:dyDescent="0.25"/>
    <row r="2" spans="1:4" ht="14.25" customHeight="1" x14ac:dyDescent="0.25"/>
    <row r="3" spans="1:4" ht="14.25" customHeight="1" x14ac:dyDescent="0.25"/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5" customHeight="1" thickBot="1" x14ac:dyDescent="0.3"/>
    <row r="11" spans="1:4" s="8" customFormat="1" ht="26.25" x14ac:dyDescent="0.45">
      <c r="A11"/>
      <c r="B11" s="9" t="s">
        <v>13</v>
      </c>
      <c r="C11" s="10"/>
      <c r="D11" s="11"/>
    </row>
    <row r="12" spans="1:4" ht="17.25" x14ac:dyDescent="0.3">
      <c r="B12" s="12" t="s">
        <v>15</v>
      </c>
      <c r="C12" s="13"/>
      <c r="D12" s="14">
        <v>2000</v>
      </c>
    </row>
    <row r="13" spans="1:4" ht="17.25" x14ac:dyDescent="0.3">
      <c r="B13" s="15" t="s">
        <v>14</v>
      </c>
      <c r="C13" s="16"/>
      <c r="D13" s="17">
        <v>6.0000000000000001E-3</v>
      </c>
    </row>
    <row r="14" spans="1:4" ht="18" thickBot="1" x14ac:dyDescent="0.35">
      <c r="B14" s="18" t="s">
        <v>16</v>
      </c>
      <c r="C14" s="19"/>
      <c r="D14" s="20">
        <f>D12*30%</f>
        <v>600</v>
      </c>
    </row>
    <row r="15" spans="1:4" ht="15.75" thickBot="1" x14ac:dyDescent="0.3"/>
    <row r="16" spans="1:4" ht="30.75" x14ac:dyDescent="0.25">
      <c r="B16" s="30" t="s">
        <v>5</v>
      </c>
      <c r="C16" s="31"/>
      <c r="D16" s="32"/>
    </row>
    <row r="17" spans="1:4" ht="17.25" x14ac:dyDescent="0.3">
      <c r="B17" s="12" t="s">
        <v>0</v>
      </c>
      <c r="C17" s="13"/>
      <c r="D17" s="21">
        <v>200</v>
      </c>
    </row>
    <row r="18" spans="1:4" ht="17.25" x14ac:dyDescent="0.3">
      <c r="B18" s="15" t="s">
        <v>1</v>
      </c>
      <c r="C18" s="16"/>
      <c r="D18" s="22">
        <v>5</v>
      </c>
    </row>
    <row r="19" spans="1:4" ht="17.25" x14ac:dyDescent="0.3">
      <c r="B19" s="15" t="s">
        <v>2</v>
      </c>
      <c r="C19" s="16"/>
      <c r="D19" s="23">
        <v>1.0789999999999999E-2</v>
      </c>
    </row>
    <row r="20" spans="1:4" ht="17.25" x14ac:dyDescent="0.3">
      <c r="B20" s="24" t="s">
        <v>3</v>
      </c>
      <c r="C20" s="25"/>
      <c r="D20" s="26">
        <f>FV(taxa_mensal,qtde_anos*12,apote*-1)</f>
        <v>16755.382799697527</v>
      </c>
    </row>
    <row r="21" spans="1:4" ht="18" thickBot="1" x14ac:dyDescent="0.35">
      <c r="B21" s="27" t="s">
        <v>4</v>
      </c>
      <c r="C21" s="28"/>
      <c r="D21" s="29">
        <f>patrimonio*rendimento_carteira</f>
        <v>100.53229679818516</v>
      </c>
    </row>
    <row r="22" spans="1:4" ht="15.75" thickBot="1" x14ac:dyDescent="0.3"/>
    <row r="23" spans="1:4" ht="30.75" x14ac:dyDescent="0.25">
      <c r="B23" s="30" t="s">
        <v>11</v>
      </c>
      <c r="C23" s="31"/>
      <c r="D23" s="42" t="s">
        <v>12</v>
      </c>
    </row>
    <row r="24" spans="1:4" ht="17.25" x14ac:dyDescent="0.3">
      <c r="A24" s="1">
        <v>2</v>
      </c>
      <c r="B24" s="33" t="s">
        <v>6</v>
      </c>
      <c r="C24" s="34">
        <f>FV($D$19,$A24*12,$D$17*-1)</f>
        <v>5445.5254595290435</v>
      </c>
      <c r="D24" s="35">
        <f>C24*rendimento_carteira</f>
        <v>32.673152757174265</v>
      </c>
    </row>
    <row r="25" spans="1:4" ht="17.25" x14ac:dyDescent="0.3">
      <c r="A25" s="1">
        <v>5</v>
      </c>
      <c r="B25" s="36" t="s">
        <v>7</v>
      </c>
      <c r="C25" s="37">
        <f>FV($D$19,$A25*12,$D$17*-1)</f>
        <v>16755.382799697527</v>
      </c>
      <c r="D25" s="38">
        <f>C25*rendimento_carteira</f>
        <v>100.53229679818516</v>
      </c>
    </row>
    <row r="26" spans="1:4" ht="17.25" x14ac:dyDescent="0.3">
      <c r="A26" s="1">
        <v>10</v>
      </c>
      <c r="B26" s="36" t="s">
        <v>8</v>
      </c>
      <c r="C26" s="37">
        <f>FV($D$19,$A26*12,$D$17*-1)</f>
        <v>48656.842506034438</v>
      </c>
      <c r="D26" s="38">
        <f>C26*rendimento_carteira</f>
        <v>291.94105503620665</v>
      </c>
    </row>
    <row r="27" spans="1:4" ht="17.25" x14ac:dyDescent="0.3">
      <c r="A27" s="1">
        <v>20</v>
      </c>
      <c r="B27" s="36" t="s">
        <v>9</v>
      </c>
      <c r="C27" s="37">
        <f>FV($D$19,$A27*12,$D$17*-1)</f>
        <v>225039.68001941612</v>
      </c>
      <c r="D27" s="38">
        <f>C27*rendimento_carteira</f>
        <v>1350.2380801164968</v>
      </c>
    </row>
    <row r="28" spans="1:4" ht="18" thickBot="1" x14ac:dyDescent="0.35">
      <c r="A28" s="1">
        <v>30</v>
      </c>
      <c r="B28" s="39" t="s">
        <v>10</v>
      </c>
      <c r="C28" s="40">
        <f>FV($D$19,$A28*12,$D$17*-1)</f>
        <v>864433.93100094295</v>
      </c>
      <c r="D28" s="41">
        <f>C28*rendimento_carteira</f>
        <v>5186.6035860056581</v>
      </c>
    </row>
    <row r="32" spans="1:4" x14ac:dyDescent="0.25">
      <c r="B32" s="3" t="s">
        <v>21</v>
      </c>
      <c r="C32" s="7" t="s">
        <v>19</v>
      </c>
      <c r="D32" s="3"/>
    </row>
    <row r="33" spans="2:4" x14ac:dyDescent="0.25">
      <c r="B33" s="5" t="s">
        <v>20</v>
      </c>
      <c r="C33" s="43">
        <f>apote</f>
        <v>200</v>
      </c>
      <c r="D33" s="5"/>
    </row>
    <row r="35" spans="2:4" x14ac:dyDescent="0.25">
      <c r="B35" s="44" t="s">
        <v>22</v>
      </c>
      <c r="C35" s="44" t="s">
        <v>23</v>
      </c>
      <c r="D35" s="44" t="s">
        <v>24</v>
      </c>
    </row>
    <row r="36" spans="2:4" x14ac:dyDescent="0.25">
      <c r="B36" s="2" t="s">
        <v>25</v>
      </c>
      <c r="C36" s="45">
        <f>VLOOKUP($C$32&amp;"-"&amp;B36,Plan2!$A:$D,4,FALSE)</f>
        <v>0.5</v>
      </c>
      <c r="D36" s="6">
        <f>C36*$C$33</f>
        <v>100</v>
      </c>
    </row>
    <row r="37" spans="2:4" x14ac:dyDescent="0.25">
      <c r="B37" s="2" t="s">
        <v>26</v>
      </c>
      <c r="C37" s="45">
        <f>VLOOKUP($C$32&amp;"-"&amp;B37,Plan2!$A:$D,4,FALSE)</f>
        <v>0.1</v>
      </c>
      <c r="D37" s="6">
        <f t="shared" ref="D37:D41" si="0">C37*$C$33</f>
        <v>20</v>
      </c>
    </row>
    <row r="38" spans="2:4" x14ac:dyDescent="0.25">
      <c r="B38" s="2" t="s">
        <v>27</v>
      </c>
      <c r="C38" s="45">
        <f>VLOOKUP($C$32&amp;"-"&amp;B38,Plan2!$A:$D,4,FALSE)</f>
        <v>0.05</v>
      </c>
      <c r="D38" s="6">
        <f t="shared" si="0"/>
        <v>10</v>
      </c>
    </row>
    <row r="39" spans="2:4" x14ac:dyDescent="0.25">
      <c r="B39" s="2" t="s">
        <v>28</v>
      </c>
      <c r="C39" s="45">
        <f>VLOOKUP($C$32&amp;"-"&amp;B39,Plan2!$A:$D,4,FALSE)</f>
        <v>0.05</v>
      </c>
      <c r="D39" s="6">
        <f t="shared" si="0"/>
        <v>10</v>
      </c>
    </row>
    <row r="40" spans="2:4" x14ac:dyDescent="0.25">
      <c r="B40" s="2" t="s">
        <v>29</v>
      </c>
      <c r="C40" s="45">
        <f>VLOOKUP($C$32&amp;"-"&amp;B40,Plan2!$A:$D,4,FALSE)</f>
        <v>0.2</v>
      </c>
      <c r="D40" s="6">
        <f t="shared" si="0"/>
        <v>40</v>
      </c>
    </row>
    <row r="41" spans="2:4" x14ac:dyDescent="0.25">
      <c r="B41" s="2" t="s">
        <v>30</v>
      </c>
      <c r="C41" s="45">
        <f>VLOOKUP($C$32&amp;"-"&amp;B41,Plan2!$A:$D,4,FALSE)</f>
        <v>0.1</v>
      </c>
      <c r="D41" s="6">
        <f t="shared" si="0"/>
        <v>20</v>
      </c>
    </row>
    <row r="42" spans="2:4" x14ac:dyDescent="0.25">
      <c r="B42" s="46"/>
      <c r="C42" s="46"/>
      <c r="D42" s="47">
        <f>SUM(D36:D41)</f>
        <v>200</v>
      </c>
    </row>
  </sheetData>
  <mergeCells count="10">
    <mergeCell ref="B23:C23"/>
    <mergeCell ref="B16:D16"/>
    <mergeCell ref="B17:C17"/>
    <mergeCell ref="B18:C18"/>
    <mergeCell ref="B20:C20"/>
    <mergeCell ref="B21:C21"/>
    <mergeCell ref="B19:C19"/>
    <mergeCell ref="B12:C12"/>
    <mergeCell ref="B13:C13"/>
    <mergeCell ref="B14:C14"/>
  </mergeCells>
  <dataValidations disablePrompts="1" count="1">
    <dataValidation type="list" allowBlank="1" showInputMessage="1" showErrorMessage="1" sqref="C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0"/>
  <sheetViews>
    <sheetView workbookViewId="0">
      <selection activeCell="H4" sqref="H4"/>
    </sheetView>
  </sheetViews>
  <sheetFormatPr defaultRowHeight="15" x14ac:dyDescent="0.25"/>
  <cols>
    <col min="1" max="1" width="31.28515625" style="4" bestFit="1" customWidth="1"/>
    <col min="2" max="2" width="12.140625" style="4" bestFit="1" customWidth="1"/>
    <col min="3" max="3" width="19" style="4" bestFit="1" customWidth="1"/>
    <col min="4" max="4" width="9.140625" style="4"/>
    <col min="7" max="7" width="17.5703125" bestFit="1" customWidth="1"/>
    <col min="13" max="16384" width="9.140625" style="4"/>
  </cols>
  <sheetData>
    <row r="2" spans="1:8" x14ac:dyDescent="0.25">
      <c r="A2" s="48" t="s">
        <v>31</v>
      </c>
      <c r="B2" s="48" t="s">
        <v>21</v>
      </c>
      <c r="C2" s="49" t="s">
        <v>22</v>
      </c>
      <c r="D2" s="49" t="s">
        <v>32</v>
      </c>
    </row>
    <row r="3" spans="1:8" x14ac:dyDescent="0.25">
      <c r="A3" t="str">
        <f>$B$3&amp;"-"&amp;C3</f>
        <v>Conservador-PAPEL</v>
      </c>
      <c r="B3" t="s">
        <v>17</v>
      </c>
      <c r="C3" s="2" t="s">
        <v>25</v>
      </c>
      <c r="D3" s="45">
        <v>0.3</v>
      </c>
      <c r="H3" t="s">
        <v>32</v>
      </c>
    </row>
    <row r="4" spans="1:8" x14ac:dyDescent="0.25">
      <c r="A4" t="str">
        <f t="shared" ref="A4:A20" si="0">$B$3&amp;"-"&amp;C4</f>
        <v>Conservador-TIJOLO</v>
      </c>
      <c r="B4" t="s">
        <v>17</v>
      </c>
      <c r="C4" s="2" t="s">
        <v>26</v>
      </c>
      <c r="D4" s="45">
        <v>0.5</v>
      </c>
      <c r="G4" s="3" t="s">
        <v>33</v>
      </c>
      <c r="H4" s="56">
        <f>VLOOKUP(G4,$A:$D,4,FALSE)</f>
        <v>0.35</v>
      </c>
    </row>
    <row r="5" spans="1:8" x14ac:dyDescent="0.25">
      <c r="A5" t="str">
        <f t="shared" si="0"/>
        <v>Conservador-HIBRIDOS</v>
      </c>
      <c r="B5" t="s">
        <v>17</v>
      </c>
      <c r="C5" s="2" t="s">
        <v>27</v>
      </c>
      <c r="D5" s="45">
        <v>0.1</v>
      </c>
      <c r="G5" s="59"/>
      <c r="H5" s="59"/>
    </row>
    <row r="6" spans="1:8" x14ac:dyDescent="0.25">
      <c r="A6" t="str">
        <f t="shared" si="0"/>
        <v>Conservador-FOFs</v>
      </c>
      <c r="B6" t="s">
        <v>17</v>
      </c>
      <c r="C6" s="2" t="s">
        <v>28</v>
      </c>
      <c r="D6" s="45">
        <v>0.1</v>
      </c>
      <c r="G6" s="57"/>
      <c r="H6" s="58"/>
    </row>
    <row r="7" spans="1:8" x14ac:dyDescent="0.25">
      <c r="A7" t="str">
        <f t="shared" si="0"/>
        <v>Conservador-DESENVOLVIMENTO</v>
      </c>
      <c r="B7" t="s">
        <v>17</v>
      </c>
      <c r="C7" s="2" t="s">
        <v>29</v>
      </c>
      <c r="D7" s="45">
        <v>0</v>
      </c>
      <c r="G7" s="59"/>
      <c r="H7" s="59"/>
    </row>
    <row r="8" spans="1:8" ht="15.75" thickBot="1" x14ac:dyDescent="0.3">
      <c r="A8" s="50" t="str">
        <f t="shared" si="0"/>
        <v>Conservador-HOTELARIAS</v>
      </c>
      <c r="B8" s="50" t="s">
        <v>17</v>
      </c>
      <c r="C8" s="51" t="s">
        <v>30</v>
      </c>
      <c r="D8" s="52">
        <v>0</v>
      </c>
    </row>
    <row r="9" spans="1:8" x14ac:dyDescent="0.25">
      <c r="A9" t="str">
        <f>$B$9&amp;"-"&amp;C9</f>
        <v>Moderado-PAPEL</v>
      </c>
      <c r="B9" t="s">
        <v>18</v>
      </c>
      <c r="C9" s="2" t="s">
        <v>25</v>
      </c>
      <c r="D9" s="45">
        <v>0.32</v>
      </c>
    </row>
    <row r="10" spans="1:8" x14ac:dyDescent="0.25">
      <c r="A10" s="53" t="str">
        <f t="shared" ref="A10:A14" si="1">$B$9&amp;"-"&amp;C10</f>
        <v>Moderado-TIJOLO</v>
      </c>
      <c r="B10" s="53" t="s">
        <v>18</v>
      </c>
      <c r="C10" s="54" t="s">
        <v>26</v>
      </c>
      <c r="D10" s="55">
        <v>0.35</v>
      </c>
    </row>
    <row r="11" spans="1:8" x14ac:dyDescent="0.25">
      <c r="A11" t="str">
        <f t="shared" si="1"/>
        <v>Moderado-HIBRIDOS</v>
      </c>
      <c r="B11" t="s">
        <v>18</v>
      </c>
      <c r="C11" s="2" t="s">
        <v>27</v>
      </c>
      <c r="D11" s="45">
        <v>0.08</v>
      </c>
    </row>
    <row r="12" spans="1:8" x14ac:dyDescent="0.25">
      <c r="A12" t="str">
        <f t="shared" si="1"/>
        <v>Moderado-FOFs</v>
      </c>
      <c r="B12" t="s">
        <v>18</v>
      </c>
      <c r="C12" s="2" t="s">
        <v>28</v>
      </c>
      <c r="D12" s="45">
        <v>0.05</v>
      </c>
    </row>
    <row r="13" spans="1:8" x14ac:dyDescent="0.25">
      <c r="A13" t="str">
        <f t="shared" si="1"/>
        <v>Moderado-DESENVOLVIMENTO</v>
      </c>
      <c r="B13" t="s">
        <v>18</v>
      </c>
      <c r="C13" s="2" t="s">
        <v>29</v>
      </c>
      <c r="D13" s="45">
        <v>0.1</v>
      </c>
    </row>
    <row r="14" spans="1:8" ht="15.75" thickBot="1" x14ac:dyDescent="0.3">
      <c r="A14" s="50" t="str">
        <f t="shared" si="1"/>
        <v>Moderado-HOTELARIAS</v>
      </c>
      <c r="B14" s="50" t="s">
        <v>18</v>
      </c>
      <c r="C14" s="51" t="s">
        <v>30</v>
      </c>
      <c r="D14" s="52">
        <v>0.1</v>
      </c>
    </row>
    <row r="15" spans="1:8" x14ac:dyDescent="0.25">
      <c r="A15" t="str">
        <f>$B$15&amp;"-"&amp;C15</f>
        <v>Agressivo-PAPEL</v>
      </c>
      <c r="B15" t="s">
        <v>19</v>
      </c>
      <c r="C15" s="2" t="s">
        <v>25</v>
      </c>
      <c r="D15" s="45">
        <v>0.5</v>
      </c>
    </row>
    <row r="16" spans="1:8" x14ac:dyDescent="0.25">
      <c r="A16" t="str">
        <f t="shared" ref="A16:A20" si="2">$B$15&amp;"-"&amp;C16</f>
        <v>Agressivo-TIJOLO</v>
      </c>
      <c r="B16" t="s">
        <v>19</v>
      </c>
      <c r="C16" s="2" t="s">
        <v>26</v>
      </c>
      <c r="D16" s="45">
        <v>0.1</v>
      </c>
    </row>
    <row r="17" spans="1:4" x14ac:dyDescent="0.25">
      <c r="A17" t="str">
        <f t="shared" si="2"/>
        <v>Agressivo-HIBRIDOS</v>
      </c>
      <c r="B17" t="s">
        <v>19</v>
      </c>
      <c r="C17" s="2" t="s">
        <v>27</v>
      </c>
      <c r="D17" s="45">
        <v>0.05</v>
      </c>
    </row>
    <row r="18" spans="1:4" x14ac:dyDescent="0.25">
      <c r="A18" t="str">
        <f t="shared" si="2"/>
        <v>Agressivo-FOFs</v>
      </c>
      <c r="B18" t="s">
        <v>19</v>
      </c>
      <c r="C18" s="2" t="s">
        <v>28</v>
      </c>
      <c r="D18" s="45">
        <v>0.05</v>
      </c>
    </row>
    <row r="19" spans="1:4" x14ac:dyDescent="0.25">
      <c r="A19" t="str">
        <f t="shared" si="2"/>
        <v>Agressivo-DESENVOLVIMENTO</v>
      </c>
      <c r="B19" t="s">
        <v>19</v>
      </c>
      <c r="C19" s="2" t="s">
        <v>29</v>
      </c>
      <c r="D19" s="45">
        <v>0.2</v>
      </c>
    </row>
    <row r="20" spans="1:4" x14ac:dyDescent="0.25">
      <c r="A20" t="str">
        <f t="shared" si="2"/>
        <v>Agressivo-HOTELARIAS</v>
      </c>
      <c r="B20" t="s">
        <v>19</v>
      </c>
      <c r="C20" s="2" t="s">
        <v>30</v>
      </c>
      <c r="D20" s="4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Plan2</vt:lpstr>
      <vt:lpstr>apote</vt:lpstr>
      <vt:lpstr>patrimonio</vt:lpstr>
      <vt:lpstr>qtde_anos</vt:lpstr>
      <vt:lpstr>rendimento_carteira</vt:lpstr>
      <vt:lpstr>salerio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Martins</dc:creator>
  <cp:lastModifiedBy>Rodrigo Martins</cp:lastModifiedBy>
  <dcterms:created xsi:type="dcterms:W3CDTF">2026-09-12T17:08:52Z</dcterms:created>
  <dcterms:modified xsi:type="dcterms:W3CDTF">2026-09-14T12:50:35Z</dcterms:modified>
</cp:coreProperties>
</file>